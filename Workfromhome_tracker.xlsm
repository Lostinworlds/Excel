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6626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463fbe551448119/Documents/study/"/>
    </mc:Choice>
  </mc:AlternateContent>
  <xr:revisionPtr revIDLastSave="0" documentId="8_{19D787C5-51E0-4EC6-BD85-EE1D2D02D86A}" xr6:coauthVersionLast="47" xr6:coauthVersionMax="47" xr10:uidLastSave="{00000000-0000-0000-0000-000000000000}"/>
  <bookViews>
    <workbookView xWindow="-28920" yWindow="-2115" windowWidth="29040" windowHeight="15720"/>
  </bookViews>
  <sheets>
    <sheet name="Schedule" sheetId="1" r:id="rId1"/>
    <sheet name="Holidays" sheetId="3" r:id="rId2"/>
    <sheet name="Key data" sheetId="2" r:id="rId3"/>
  </sheets>
  <definedNames>
    <definedName name="_xlnm._FilterDatabase" localSheetId="0" hidden="1">Schedule!$B$7:$I$32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1" l="1"/>
  <c r="F7" i="1" a="1"/>
  <c r="F7" i="1" s="1"/>
  <c r="B6" i="1"/>
  <c r="D9" i="1"/>
  <c r="E9" i="1"/>
  <c r="D10" i="1"/>
  <c r="E10" i="1"/>
  <c r="D11" i="1"/>
  <c r="E11" i="1"/>
  <c r="D12" i="1"/>
  <c r="E12" i="1"/>
  <c r="D13" i="1"/>
  <c r="E13" i="1"/>
  <c r="D14" i="1"/>
  <c r="E14" i="1"/>
  <c r="D15" i="1"/>
  <c r="E15" i="1"/>
  <c r="D16" i="1"/>
  <c r="E16" i="1"/>
  <c r="D17" i="1"/>
  <c r="E17" i="1"/>
  <c r="D18" i="1"/>
  <c r="E18" i="1"/>
  <c r="D19" i="1"/>
  <c r="E19" i="1"/>
  <c r="D20" i="1"/>
  <c r="E20" i="1"/>
  <c r="D21" i="1"/>
  <c r="E21" i="1"/>
  <c r="D22" i="1"/>
  <c r="E22" i="1"/>
  <c r="D23" i="1"/>
  <c r="E23" i="1"/>
  <c r="D24" i="1"/>
  <c r="E24" i="1"/>
  <c r="D25" i="1"/>
  <c r="E25" i="1"/>
  <c r="D26" i="1"/>
  <c r="E26" i="1"/>
  <c r="D27" i="1"/>
  <c r="E27" i="1"/>
  <c r="D28" i="1"/>
  <c r="E28" i="1"/>
  <c r="D29" i="1"/>
  <c r="E29" i="1"/>
  <c r="D30" i="1"/>
  <c r="E30" i="1"/>
  <c r="D31" i="1"/>
  <c r="E31" i="1"/>
  <c r="D32" i="1"/>
  <c r="E32" i="1"/>
  <c r="E8" i="1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B8" i="1" l="1"/>
  <c r="B9" i="1" s="1"/>
  <c r="C9" i="1" s="1"/>
  <c r="B10" i="1" l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C8" i="1"/>
  <c r="C10" i="1" l="1"/>
  <c r="C11" i="1"/>
  <c r="C12" i="1" l="1"/>
  <c r="C13" i="1" l="1"/>
  <c r="C14" i="1" l="1"/>
  <c r="C15" i="1" l="1"/>
  <c r="C16" i="1" l="1"/>
  <c r="C17" i="1" l="1"/>
  <c r="C18" i="1" l="1"/>
  <c r="C19" i="1" l="1"/>
  <c r="C20" i="1" l="1"/>
  <c r="C21" i="1" l="1"/>
  <c r="C22" i="1" l="1"/>
  <c r="C23" i="1" l="1"/>
  <c r="C24" i="1" l="1"/>
  <c r="C25" i="1" l="1"/>
  <c r="C26" i="1" l="1"/>
  <c r="C27" i="1" l="1"/>
  <c r="C28" i="1" l="1"/>
  <c r="C29" i="1" l="1"/>
  <c r="C30" i="1" l="1"/>
  <c r="C31" i="1" l="1"/>
  <c r="C32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<sst xmlns="http://schemas.openxmlformats.org/spreadsheetml/2006/main" count="161" uniqueCount="57">
  <si>
    <t>Year</t>
  </si>
  <si>
    <t>Month</t>
  </si>
  <si>
    <t>Date</t>
  </si>
  <si>
    <t>Weekday</t>
  </si>
  <si>
    <t xml:space="preserve">Team </t>
  </si>
  <si>
    <t>Michelle Traylor</t>
  </si>
  <si>
    <t>Iona Walton</t>
  </si>
  <si>
    <t>Valarie Bryce</t>
  </si>
  <si>
    <t>Jemma Quincy</t>
  </si>
  <si>
    <t>WFH</t>
  </si>
  <si>
    <t>WFO</t>
  </si>
  <si>
    <t>Holiday Name</t>
  </si>
  <si>
    <t>Day</t>
  </si>
  <si>
    <t>New Year's Day</t>
  </si>
  <si>
    <t>January 01, 2023</t>
  </si>
  <si>
    <t>Sunday</t>
  </si>
  <si>
    <t>New Year's Day (substitute day)</t>
  </si>
  <si>
    <t>January 02, 2023</t>
  </si>
  <si>
    <t>Monday</t>
  </si>
  <si>
    <t>Mother's Day</t>
  </si>
  <si>
    <t>March 19, 2023</t>
  </si>
  <si>
    <t>Good Friday</t>
  </si>
  <si>
    <t>April 07, 2023</t>
  </si>
  <si>
    <t>Friday</t>
  </si>
  <si>
    <t>Easter Sunday</t>
  </si>
  <si>
    <t>April 09, 2023</t>
  </si>
  <si>
    <t>Easter Monday</t>
  </si>
  <si>
    <t>April 10, 2023</t>
  </si>
  <si>
    <t>Early May bank holiday</t>
  </si>
  <si>
    <t>May 01, 2023</t>
  </si>
  <si>
    <t>Spring bank holiday</t>
  </si>
  <si>
    <t>May 29, 2023</t>
  </si>
  <si>
    <t>Christmas Day</t>
  </si>
  <si>
    <t>December 25, 2023</t>
  </si>
  <si>
    <t>Boxing Day</t>
  </si>
  <si>
    <t>December 26, 2023</t>
  </si>
  <si>
    <t>Tuesday</t>
  </si>
  <si>
    <t>January 01, 2024</t>
  </si>
  <si>
    <t>March 10, 2024</t>
  </si>
  <si>
    <t>March 29, 2024</t>
  </si>
  <si>
    <t>March 31, 2024</t>
  </si>
  <si>
    <t>April 01, 2024</t>
  </si>
  <si>
    <t>May 06, 2024</t>
  </si>
  <si>
    <t>May 27, 2024</t>
  </si>
  <si>
    <t>December 25, 2024</t>
  </si>
  <si>
    <t>Wednesday</t>
  </si>
  <si>
    <t>December 26, 2024</t>
  </si>
  <si>
    <t>Thursday</t>
  </si>
  <si>
    <t xml:space="preserve">Data from: https://www.generalblue.com/calendar/uk/uk-holidays-2024 </t>
  </si>
  <si>
    <t>Staff Work From Home Schedule</t>
  </si>
  <si>
    <t>Office</t>
  </si>
  <si>
    <t>Home</t>
  </si>
  <si>
    <t>Leave (FD)</t>
  </si>
  <si>
    <t>Work status</t>
  </si>
  <si>
    <t>Leave (AM)</t>
  </si>
  <si>
    <t>Leave (PM)</t>
  </si>
  <si>
    <t>Sick Leave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</si>
</sst>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Inherit"/>
    </font>
    <font>
      <b/>
      <sz val="16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3D405B"/>
        <bgColor indexed="64"/>
      </patternFill>
    </fill>
    <fill>
      <patternFill patternType="solid">
        <fgColor rgb="FF81B29A"/>
        <bgColor indexed="64"/>
      </patternFill>
    </fill>
    <fill>
      <patternFill patternType="solid">
        <fgColor rgb="FFE07A5F"/>
        <bgColor indexed="64"/>
      </patternFill>
    </fill>
    <fill>
      <patternFill patternType="solid">
        <fgColor rgb="FFF2CC8F"/>
        <bgColor indexed="64"/>
      </patternFill>
    </fill>
    <fill>
      <patternFill patternType="solid">
        <fgColor rgb="FFF4F1DE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14" fontId="0" fillId="0" borderId="0" xfId="0" applyNumberFormat="1"/>
    <xf numFmtId="0" fontId="0" fillId="0" borderId="0" xfId="0" applyAlignment="1"/>
    <xf numFmtId="14" fontId="0" fillId="0" borderId="0" xfId="0" applyNumberFormat="1" applyAlignment="1"/>
    <xf numFmtId="0" fontId="0" fillId="0" borderId="0" xfId="0"/>
    <xf numFmtId="0" fontId="4" fillId="2" borderId="0" xfId="0" applyFont="1" applyFill="1" applyAlignment="1">
      <alignment horizontal="center" vertical="center"/>
    </xf>
    <xf numFmtId="0" fontId="0" fillId="3" borderId="0" xfId="0" applyFill="1"/>
    <xf numFmtId="0" fontId="2" fillId="2" borderId="0" xfId="0" applyFont="1" applyFill="1" applyAlignment="1"/>
    <xf numFmtId="14" fontId="0" fillId="3" borderId="0" xfId="0" applyNumberFormat="1" applyFill="1"/>
    <xf numFmtId="0" fontId="0" fillId="6" borderId="0" xfId="0" applyFill="1"/>
    <xf numFmtId="14" fontId="0" fillId="6" borderId="0" xfId="0" applyNumberFormat="1" applyFill="1"/>
    <xf numFmtId="14" fontId="3" fillId="4" borderId="0" xfId="0" applyNumberFormat="1" applyFont="1" applyFill="1" applyAlignment="1">
      <alignment horizontal="left" vertical="center"/>
    </xf>
    <xf numFmtId="0" fontId="1" fillId="3" borderId="0" xfId="0" applyFont="1" applyFill="1"/>
    <xf numFmtId="0" fontId="0" fillId="3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3" borderId="1" xfId="0" applyFill="1" applyBorder="1" applyAlignment="1">
      <alignment horizontal="center" vertical="center"/>
    </xf>
    <xf numFmtId="14" fontId="0" fillId="5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2" fillId="0" borderId="0" xfId="0" applyNumberFormat="1" applyFont="1"/>
  </cellXfs>
  <cellStyles count="1">
    <cellStyle name="Normal" xfId="0" builtinId="0"/>
  </cellStyles>
  <dxfs count="2">
    <dxf>
      <fill>
        <patternFill>
          <bgColor rgb="FFE07A5F"/>
        </patternFill>
      </fill>
    </dxf>
    <dxf>
      <fill>
        <patternFill>
          <bgColor rgb="FFE07A5F"/>
        </patternFill>
      </fill>
    </dxf>
  </dxfs>
  <tableStyles count="0" defaultTableStyle="TableStyleMedium2" defaultPivotStyle="PivotStyleLight16"/>
  <colors>
    <mruColors>
      <color rgb="FFE07A5F"/>
      <color rgb="FFF07167"/>
      <color rgb="FFF2CC8F"/>
      <color rgb="FFF4F1DE"/>
      <color rgb="FF81B29A"/>
      <color rgb="FF3D40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6350</xdr:rowOff>
        </xdr:from>
        <xdr:to>
          <xdr:col>5</xdr:col>
          <xdr:colOff>850900</xdr:colOff>
          <xdr:row>4</xdr:row>
          <xdr:rowOff>101600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Calander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I32"/>
  <sheetViews>
    <sheetView tabSelected="1" zoomScaleNormal="100" workbookViewId="0">
      <selection activeCell="L16" sqref="L16"/>
    </sheetView>
  </sheetViews>
  <sheetFormatPr defaultRowHeight="14.5"/>
  <cols>
    <col min="2" max="2" width="10.453125" bestFit="1" customWidth="1"/>
    <col min="3" max="3" width="13.36328125" bestFit="1" customWidth="1"/>
    <col min="4" max="4" width="9.54296875" bestFit="1" customWidth="1"/>
    <col min="5" max="5" width="9.36328125" bestFit="1" customWidth="1"/>
    <col min="6" max="6" width="19.1796875" bestFit="1" customWidth="1"/>
    <col min="7" max="7" width="15.6328125" bestFit="1" customWidth="1"/>
    <col min="8" max="8" width="16.453125" bestFit="1" customWidth="1"/>
    <col min="9" max="9" width="17.81640625" bestFit="1" customWidth="1"/>
  </cols>
  <sheetData>
    <row r="1" spans="2:9" s="4" customFormat="1" ht="14.5" customHeight="1">
      <c r="B1" s="5" t="s">
        <v>49</v>
      </c>
      <c r="C1" s="5"/>
      <c r="D1" s="5"/>
      <c r="E1" s="5"/>
      <c r="F1" s="5"/>
      <c r="G1" s="5"/>
      <c r="H1" s="5"/>
      <c r="I1" s="5"/>
    </row>
    <row r="2" spans="2:9" s="4" customFormat="1" ht="14.5" customHeight="1">
      <c r="B2" s="5"/>
      <c r="C2" s="5"/>
      <c r="D2" s="5"/>
      <c r="E2" s="5"/>
      <c r="F2" s="5"/>
      <c r="G2" s="5"/>
      <c r="H2" s="5"/>
      <c r="I2" s="5"/>
    </row>
    <row r="3" spans="2:9" s="4" customFormat="1"/>
    <row r="4" spans="2:9">
      <c r="B4" s="13" t="s">
        <v>0</v>
      </c>
      <c r="C4" s="13" t="s">
        <v>1</v>
      </c>
    </row>
    <row r="5" spans="2:9">
      <c r="B5" s="14">
        <v>2023</v>
      </c>
      <c r="C5" s="14">
        <v>4</v>
      </c>
    </row>
    <row r="6" spans="2:9">
      <c r="B6" s="20">
        <f>DATE(B5,C5,1)</f>
        <v>45017</v>
      </c>
    </row>
    <row r="7" spans="2:9">
      <c r="B7" s="15" t="s">
        <v>2</v>
      </c>
      <c r="C7" s="15" t="s">
        <v>3</v>
      </c>
      <c r="D7" s="15" t="s">
        <v>10</v>
      </c>
      <c r="E7" s="15" t="s">
        <v>9</v>
      </c>
      <c r="F7" s="15" t="str" cm="1">
        <f t="array" ref="F7:I7">TRANSPOSE('Key data'!B3:B6)</f>
        <v>Michelle Traylor</v>
      </c>
      <c r="G7" s="15" t="str">
        <v>Iona Walton</v>
      </c>
      <c r="H7" s="15" t="str">
        <v>Valarie Bryce</v>
      </c>
      <c r="I7" s="15" t="str">
        <v>Jemma Quincy</v>
      </c>
    </row>
    <row r="8" spans="2:9">
      <c r="B8" s="16">
        <f>WORKDAY(B6,0)</f>
        <v>45017</v>
      </c>
      <c r="C8" s="17" t="str">
        <f>TEXT(B8,"aaa")</f>
        <v>Sat</v>
      </c>
      <c r="D8" s="18">
        <f>COUNTIF(F8:I8,"Office")</f>
        <v>2</v>
      </c>
      <c r="E8" s="18">
        <f>COUNTIF(G8:I8,"Home")</f>
        <v>2</v>
      </c>
      <c r="F8" s="19" t="s">
        <v>50</v>
      </c>
      <c r="G8" s="19" t="s">
        <v>51</v>
      </c>
      <c r="H8" s="19" t="s">
        <v>50</v>
      </c>
      <c r="I8" s="19" t="s">
        <v>51</v>
      </c>
    </row>
    <row r="9" spans="2:9">
      <c r="B9" s="16">
        <f>WORKDAY(B8,1)</f>
        <v>45019</v>
      </c>
      <c r="C9" s="17" t="str">
        <f>TEXT(B9,"aaa")</f>
        <v>Mon</v>
      </c>
      <c r="D9" s="18">
        <f t="shared" ref="D9:D32" si="0">COUNTIF(F9:I9,"Office")</f>
        <v>1</v>
      </c>
      <c r="E9" s="18">
        <f>COUNTIF(G9:I9,"Home")</f>
        <v>1</v>
      </c>
      <c r="F9" s="19" t="s">
        <v>51</v>
      </c>
      <c r="G9" s="19" t="s">
        <v>50</v>
      </c>
      <c r="H9" s="19" t="s">
        <v>51</v>
      </c>
      <c r="I9" s="19" t="s">
        <v>52</v>
      </c>
    </row>
    <row r="10" spans="2:9">
      <c r="B10" s="16">
        <f t="shared" ref="B10:B32" si="1">WORKDAY(B9,1)</f>
        <v>45020</v>
      </c>
      <c r="C10" s="17" t="str">
        <f t="shared" ref="C9:C32" si="2">TEXT(B10,"aaa")</f>
        <v>Tue</v>
      </c>
      <c r="D10" s="18">
        <f t="shared" si="0"/>
        <v>0</v>
      </c>
      <c r="E10" s="18">
        <f>COUNTIF(G10:I10,"Home")</f>
        <v>0</v>
      </c>
      <c r="F10" s="19"/>
      <c r="G10" s="19"/>
      <c r="H10" s="19"/>
      <c r="I10" s="19"/>
    </row>
    <row r="11" spans="2:9">
      <c r="B11" s="16">
        <f t="shared" si="1"/>
        <v>45021</v>
      </c>
      <c r="C11" s="17" t="str">
        <f t="shared" si="2"/>
        <v>Wed</v>
      </c>
      <c r="D11" s="18">
        <f t="shared" si="0"/>
        <v>2</v>
      </c>
      <c r="E11" s="18">
        <f>COUNTIF(G11:I11,"Home")</f>
        <v>1</v>
      </c>
      <c r="F11" s="19" t="s">
        <v>51</v>
      </c>
      <c r="G11" s="19" t="s">
        <v>51</v>
      </c>
      <c r="H11" s="19" t="s">
        <v>50</v>
      </c>
      <c r="I11" s="19" t="s">
        <v>50</v>
      </c>
    </row>
    <row r="12" spans="2:9">
      <c r="B12" s="16">
        <f t="shared" si="1"/>
        <v>45022</v>
      </c>
      <c r="C12" s="17" t="str">
        <f t="shared" si="2"/>
        <v>Thu</v>
      </c>
      <c r="D12" s="18">
        <f t="shared" si="0"/>
        <v>4</v>
      </c>
      <c r="E12" s="18">
        <f>COUNTIF(G12:I12,"Home")</f>
        <v>0</v>
      </c>
      <c r="F12" s="19" t="s">
        <v>50</v>
      </c>
      <c r="G12" s="19" t="s">
        <v>50</v>
      </c>
      <c r="H12" s="19" t="s">
        <v>50</v>
      </c>
      <c r="I12" s="19" t="s">
        <v>50</v>
      </c>
    </row>
    <row r="13" spans="2:9">
      <c r="B13" s="16">
        <f t="shared" si="1"/>
        <v>45023</v>
      </c>
      <c r="C13" s="17" t="str">
        <f t="shared" si="2"/>
        <v>Fri</v>
      </c>
      <c r="D13" s="18">
        <f t="shared" si="0"/>
        <v>2</v>
      </c>
      <c r="E13" s="18">
        <f>COUNTIF(G13:I13,"Home")</f>
        <v>2</v>
      </c>
      <c r="F13" s="19" t="s">
        <v>50</v>
      </c>
      <c r="G13" s="19" t="s">
        <v>51</v>
      </c>
      <c r="H13" s="19" t="s">
        <v>50</v>
      </c>
      <c r="I13" s="19" t="s">
        <v>51</v>
      </c>
    </row>
    <row r="14" spans="2:9">
      <c r="B14" s="16">
        <f t="shared" si="1"/>
        <v>45026</v>
      </c>
      <c r="C14" s="17" t="str">
        <f t="shared" si="2"/>
        <v>Mon</v>
      </c>
      <c r="D14" s="18">
        <f t="shared" si="0"/>
        <v>1</v>
      </c>
      <c r="E14" s="18">
        <f>COUNTIF(G14:I14,"Home")</f>
        <v>1</v>
      </c>
      <c r="F14" s="19" t="s">
        <v>51</v>
      </c>
      <c r="G14" s="19" t="s">
        <v>50</v>
      </c>
      <c r="H14" s="19" t="s">
        <v>51</v>
      </c>
      <c r="I14" s="19" t="s">
        <v>52</v>
      </c>
    </row>
    <row r="15" spans="2:9">
      <c r="B15" s="16">
        <f t="shared" si="1"/>
        <v>45027</v>
      </c>
      <c r="C15" s="17" t="str">
        <f t="shared" si="2"/>
        <v>Tue</v>
      </c>
      <c r="D15" s="18">
        <f t="shared" si="0"/>
        <v>0</v>
      </c>
      <c r="E15" s="18">
        <f>COUNTIF(G15:I15,"Home")</f>
        <v>0</v>
      </c>
      <c r="F15" s="19"/>
      <c r="G15" s="19"/>
      <c r="H15" s="19"/>
      <c r="I15" s="19"/>
    </row>
    <row r="16" spans="2:9">
      <c r="B16" s="16">
        <f t="shared" si="1"/>
        <v>45028</v>
      </c>
      <c r="C16" s="17" t="str">
        <f t="shared" si="2"/>
        <v>Wed</v>
      </c>
      <c r="D16" s="18">
        <f t="shared" si="0"/>
        <v>2</v>
      </c>
      <c r="E16" s="18">
        <f>COUNTIF(G16:I16,"Home")</f>
        <v>1</v>
      </c>
      <c r="F16" s="19" t="s">
        <v>51</v>
      </c>
      <c r="G16" s="19" t="s">
        <v>51</v>
      </c>
      <c r="H16" s="19" t="s">
        <v>50</v>
      </c>
      <c r="I16" s="19" t="s">
        <v>50</v>
      </c>
    </row>
    <row r="17" spans="2:9">
      <c r="B17" s="16">
        <f t="shared" si="1"/>
        <v>45029</v>
      </c>
      <c r="C17" s="17" t="str">
        <f t="shared" si="2"/>
        <v>Thu</v>
      </c>
      <c r="D17" s="18">
        <f t="shared" si="0"/>
        <v>4</v>
      </c>
      <c r="E17" s="18">
        <f>COUNTIF(G17:I17,"Home")</f>
        <v>0</v>
      </c>
      <c r="F17" s="19" t="s">
        <v>50</v>
      </c>
      <c r="G17" s="19" t="s">
        <v>50</v>
      </c>
      <c r="H17" s="19" t="s">
        <v>50</v>
      </c>
      <c r="I17" s="19" t="s">
        <v>50</v>
      </c>
    </row>
    <row r="18" spans="2:9">
      <c r="B18" s="16">
        <f t="shared" si="1"/>
        <v>45030</v>
      </c>
      <c r="C18" s="17" t="str">
        <f t="shared" si="2"/>
        <v>Fri</v>
      </c>
      <c r="D18" s="18">
        <f t="shared" si="0"/>
        <v>2</v>
      </c>
      <c r="E18" s="18">
        <f>COUNTIF(G18:I18,"Home")</f>
        <v>2</v>
      </c>
      <c r="F18" s="19" t="s">
        <v>50</v>
      </c>
      <c r="G18" s="19" t="s">
        <v>51</v>
      </c>
      <c r="H18" s="19" t="s">
        <v>50</v>
      </c>
      <c r="I18" s="19" t="s">
        <v>51</v>
      </c>
    </row>
    <row r="19" spans="2:9">
      <c r="B19" s="16">
        <f t="shared" si="1"/>
        <v>45033</v>
      </c>
      <c r="C19" s="17" t="str">
        <f t="shared" si="2"/>
        <v>Mon</v>
      </c>
      <c r="D19" s="18">
        <f t="shared" si="0"/>
        <v>1</v>
      </c>
      <c r="E19" s="18">
        <f>COUNTIF(G19:I19,"Home")</f>
        <v>1</v>
      </c>
      <c r="F19" s="19" t="s">
        <v>51</v>
      </c>
      <c r="G19" s="19" t="s">
        <v>50</v>
      </c>
      <c r="H19" s="19" t="s">
        <v>51</v>
      </c>
      <c r="I19" s="19" t="s">
        <v>52</v>
      </c>
    </row>
    <row r="20" spans="2:9">
      <c r="B20" s="16">
        <f t="shared" si="1"/>
        <v>45034</v>
      </c>
      <c r="C20" s="17" t="str">
        <f t="shared" si="2"/>
        <v>Tue</v>
      </c>
      <c r="D20" s="18">
        <f t="shared" si="0"/>
        <v>0</v>
      </c>
      <c r="E20" s="18">
        <f>COUNTIF(G20:I20,"Home")</f>
        <v>0</v>
      </c>
      <c r="F20" s="19"/>
      <c r="G20" s="19"/>
      <c r="H20" s="19"/>
      <c r="I20" s="19"/>
    </row>
    <row r="21" spans="2:9">
      <c r="B21" s="16">
        <f t="shared" si="1"/>
        <v>45035</v>
      </c>
      <c r="C21" s="17" t="str">
        <f t="shared" si="2"/>
        <v>Wed</v>
      </c>
      <c r="D21" s="18">
        <f t="shared" si="0"/>
        <v>2</v>
      </c>
      <c r="E21" s="18">
        <f>COUNTIF(G21:I21,"Home")</f>
        <v>1</v>
      </c>
      <c r="F21" s="19" t="s">
        <v>51</v>
      </c>
      <c r="G21" s="19" t="s">
        <v>51</v>
      </c>
      <c r="H21" s="19" t="s">
        <v>50</v>
      </c>
      <c r="I21" s="19" t="s">
        <v>50</v>
      </c>
    </row>
    <row r="22" spans="2:9">
      <c r="B22" s="16">
        <f t="shared" si="1"/>
        <v>45036</v>
      </c>
      <c r="C22" s="17" t="str">
        <f t="shared" si="2"/>
        <v>Thu</v>
      </c>
      <c r="D22" s="18">
        <f t="shared" si="0"/>
        <v>4</v>
      </c>
      <c r="E22" s="18">
        <f>COUNTIF(G22:I22,"Home")</f>
        <v>0</v>
      </c>
      <c r="F22" s="19" t="s">
        <v>50</v>
      </c>
      <c r="G22" s="19" t="s">
        <v>50</v>
      </c>
      <c r="H22" s="19" t="s">
        <v>50</v>
      </c>
      <c r="I22" s="19" t="s">
        <v>50</v>
      </c>
    </row>
    <row r="23" spans="2:9">
      <c r="B23" s="16">
        <f t="shared" si="1"/>
        <v>45037</v>
      </c>
      <c r="C23" s="17" t="str">
        <f t="shared" si="2"/>
        <v>Fri</v>
      </c>
      <c r="D23" s="18">
        <f t="shared" si="0"/>
        <v>2</v>
      </c>
      <c r="E23" s="18">
        <f>COUNTIF(G23:I23,"Home")</f>
        <v>2</v>
      </c>
      <c r="F23" s="19" t="s">
        <v>50</v>
      </c>
      <c r="G23" s="19" t="s">
        <v>51</v>
      </c>
      <c r="H23" s="19" t="s">
        <v>50</v>
      </c>
      <c r="I23" s="19" t="s">
        <v>51</v>
      </c>
    </row>
    <row r="24" spans="2:9">
      <c r="B24" s="16">
        <f t="shared" si="1"/>
        <v>45040</v>
      </c>
      <c r="C24" s="17" t="str">
        <f t="shared" si="2"/>
        <v>Mon</v>
      </c>
      <c r="D24" s="18">
        <f t="shared" si="0"/>
        <v>1</v>
      </c>
      <c r="E24" s="18">
        <f>COUNTIF(G24:I24,"Home")</f>
        <v>1</v>
      </c>
      <c r="F24" s="19" t="s">
        <v>51</v>
      </c>
      <c r="G24" s="19" t="s">
        <v>50</v>
      </c>
      <c r="H24" s="19" t="s">
        <v>51</v>
      </c>
      <c r="I24" s="19" t="s">
        <v>52</v>
      </c>
    </row>
    <row r="25" spans="2:9">
      <c r="B25" s="16">
        <f t="shared" si="1"/>
        <v>45041</v>
      </c>
      <c r="C25" s="17" t="str">
        <f t="shared" si="2"/>
        <v>Tue</v>
      </c>
      <c r="D25" s="18">
        <f t="shared" si="0"/>
        <v>0</v>
      </c>
      <c r="E25" s="18">
        <f>COUNTIF(G25:I25,"Home")</f>
        <v>0</v>
      </c>
      <c r="F25" s="19"/>
      <c r="G25" s="19"/>
      <c r="H25" s="19"/>
      <c r="I25" s="19"/>
    </row>
    <row r="26" spans="2:9">
      <c r="B26" s="16">
        <f t="shared" si="1"/>
        <v>45042</v>
      </c>
      <c r="C26" s="17" t="str">
        <f t="shared" si="2"/>
        <v>Wed</v>
      </c>
      <c r="D26" s="18">
        <f t="shared" si="0"/>
        <v>2</v>
      </c>
      <c r="E26" s="18">
        <f>COUNTIF(G26:I26,"Home")</f>
        <v>1</v>
      </c>
      <c r="F26" s="19" t="s">
        <v>51</v>
      </c>
      <c r="G26" s="19" t="s">
        <v>51</v>
      </c>
      <c r="H26" s="19" t="s">
        <v>50</v>
      </c>
      <c r="I26" s="19" t="s">
        <v>50</v>
      </c>
    </row>
    <row r="27" spans="2:9">
      <c r="B27" s="16">
        <f t="shared" si="1"/>
        <v>45043</v>
      </c>
      <c r="C27" s="17" t="str">
        <f t="shared" si="2"/>
        <v>Thu</v>
      </c>
      <c r="D27" s="18">
        <f t="shared" si="0"/>
        <v>4</v>
      </c>
      <c r="E27" s="18">
        <f>COUNTIF(G27:I27,"Home")</f>
        <v>0</v>
      </c>
      <c r="F27" s="19" t="s">
        <v>50</v>
      </c>
      <c r="G27" s="19" t="s">
        <v>50</v>
      </c>
      <c r="H27" s="19" t="s">
        <v>50</v>
      </c>
      <c r="I27" s="19" t="s">
        <v>50</v>
      </c>
    </row>
    <row r="28" spans="2:9">
      <c r="B28" s="16">
        <f t="shared" si="1"/>
        <v>45044</v>
      </c>
      <c r="C28" s="17" t="str">
        <f t="shared" si="2"/>
        <v>Fri</v>
      </c>
      <c r="D28" s="18">
        <f t="shared" si="0"/>
        <v>2</v>
      </c>
      <c r="E28" s="18">
        <f>COUNTIF(G28:I28,"Home")</f>
        <v>2</v>
      </c>
      <c r="F28" s="19" t="s">
        <v>50</v>
      </c>
      <c r="G28" s="19" t="s">
        <v>51</v>
      </c>
      <c r="H28" s="19" t="s">
        <v>50</v>
      </c>
      <c r="I28" s="19" t="s">
        <v>51</v>
      </c>
    </row>
    <row r="29" spans="2:9">
      <c r="B29" s="16">
        <f t="shared" si="1"/>
        <v>45047</v>
      </c>
      <c r="C29" s="17" t="str">
        <f t="shared" si="2"/>
        <v>Mon</v>
      </c>
      <c r="D29" s="18">
        <f t="shared" si="0"/>
        <v>1</v>
      </c>
      <c r="E29" s="18">
        <f>COUNTIF(G29:I29,"Home")</f>
        <v>1</v>
      </c>
      <c r="F29" s="19" t="s">
        <v>51</v>
      </c>
      <c r="G29" s="19" t="s">
        <v>50</v>
      </c>
      <c r="H29" s="19" t="s">
        <v>51</v>
      </c>
      <c r="I29" s="19" t="s">
        <v>52</v>
      </c>
    </row>
    <row r="30" spans="2:9">
      <c r="B30" s="16">
        <f t="shared" si="1"/>
        <v>45048</v>
      </c>
      <c r="C30" s="17" t="str">
        <f t="shared" si="2"/>
        <v>Tue</v>
      </c>
      <c r="D30" s="18">
        <f t="shared" si="0"/>
        <v>0</v>
      </c>
      <c r="E30" s="18">
        <f>COUNTIF(G30:I30,"Home")</f>
        <v>0</v>
      </c>
      <c r="F30" s="19"/>
      <c r="G30" s="19"/>
      <c r="H30" s="19"/>
      <c r="I30" s="19"/>
    </row>
    <row r="31" spans="2:9">
      <c r="B31" s="16">
        <f t="shared" si="1"/>
        <v>45049</v>
      </c>
      <c r="C31" s="17" t="str">
        <f t="shared" si="2"/>
        <v>Wed</v>
      </c>
      <c r="D31" s="18">
        <f t="shared" si="0"/>
        <v>2</v>
      </c>
      <c r="E31" s="18">
        <f>COUNTIF(G31:I31,"Home")</f>
        <v>1</v>
      </c>
      <c r="F31" s="19" t="s">
        <v>51</v>
      </c>
      <c r="G31" s="19" t="s">
        <v>51</v>
      </c>
      <c r="H31" s="19" t="s">
        <v>50</v>
      </c>
      <c r="I31" s="19" t="s">
        <v>50</v>
      </c>
    </row>
    <row r="32" spans="2:9">
      <c r="B32" s="16">
        <f t="shared" si="1"/>
        <v>45050</v>
      </c>
      <c r="C32" s="17" t="str">
        <f t="shared" si="2"/>
        <v>Thu</v>
      </c>
      <c r="D32" s="18">
        <f t="shared" si="0"/>
        <v>4</v>
      </c>
      <c r="E32" s="18">
        <f>COUNTIF(G32:I32,"Home")</f>
        <v>0</v>
      </c>
      <c r="F32" s="19" t="s">
        <v>50</v>
      </c>
      <c r="G32" s="19" t="s">
        <v>50</v>
      </c>
      <c r="H32" s="19" t="s">
        <v>50</v>
      </c>
      <c r="I32" s="19" t="s">
        <v>50</v>
      </c>
    </row>
  </sheetData>
  <autoFilter ref="B7:I32"/>
  <mergeCells count="1">
    <mergeCell ref="B1:I2"/>
  </mergeCells>
  <conditionalFormatting sqref="D8:D32">
    <cfRule type="expression" dxfId="0" priority="1">
      <formula>$D8&lt;2</formula>
    </cfRule>
  </conditionalFormatting>
  <dataValidations count="2">
    <dataValidation type="whole" allowBlank="1" showInputMessage="1" showErrorMessage="1" sqref="C5">
      <formula1>1</formula1>
      <formula2>12</formula2>
    </dataValidation>
    <dataValidation type="whole" allowBlank="1" showInputMessage="1" showErrorMessage="1" sqref="B5">
      <formula1>2023</formula1>
      <formula2>2030</formula2>
    </dataValidation>
  </dataValidations>
  <pageMargins left="0.7" right="0.7" top="0.75" bottom="0.75" header="0.3" footer="0.3"/>
  <pageSetup paperSize="9" scale="5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lear">
                <anchor moveWithCells="1" sizeWithCells="1">
                  <from>
                    <xdr:col>4</xdr:col>
                    <xdr:colOff>0</xdr:colOff>
                    <xdr:row>3</xdr:row>
                    <xdr:rowOff>6350</xdr:rowOff>
                  </from>
                  <to>
                    <xdr:col>5</xdr:col>
                    <xdr:colOff>850900</xdr:colOff>
                    <xdr:row>4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DBF95734-AB8F-4599-8B54-C6958CD39E33}">
            <xm:f>MATCH($B8,Holidays!$D:$D,0)</xm:f>
            <x14:dxf>
              <fill>
                <patternFill>
                  <bgColor rgb="FFE07A5F"/>
                </patternFill>
              </fill>
            </x14:dxf>
          </x14:cfRule>
          <xm:sqref>D8:I352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'Key data'!$E$3:$E$8</xm:f>
          </x14:formula1>
          <xm:sqref>F8:I32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22"/>
  <sheetViews>
    <sheetView workbookViewId="0">
      <selection activeCell="E4" sqref="E4"/>
    </sheetView>
  </sheetViews>
  <sheetFormatPr defaultRowHeight="14.5"/>
  <cols>
    <col min="1" max="1" width="63" bestFit="1" customWidth="1"/>
    <col min="2" max="2" width="16.81640625" style="1" bestFit="1" customWidth="1"/>
    <col min="3" max="3" width="10.6328125" bestFit="1" customWidth="1"/>
    <col min="4" max="4" width="10.08984375" style="1" bestFit="1" customWidth="1"/>
  </cols>
  <sheetData>
    <row r="1" spans="1:4">
      <c r="A1" s="7" t="s">
        <v>48</v>
      </c>
      <c r="B1" s="3"/>
      <c r="C1" s="2"/>
    </row>
    <row r="3" spans="1:4">
      <c r="A3" s="6" t="s">
        <v>11</v>
      </c>
      <c r="B3" s="6" t="s">
        <v>2</v>
      </c>
      <c r="C3" s="6" t="s">
        <v>12</v>
      </c>
      <c r="D3" s="8" t="s">
        <v>2</v>
      </c>
    </row>
    <row r="4" spans="1:4">
      <c r="A4" s="9" t="s">
        <v>13</v>
      </c>
      <c r="B4" s="9" t="s">
        <v>14</v>
      </c>
      <c r="C4" s="9" t="s">
        <v>15</v>
      </c>
      <c r="D4" s="11">
        <f>DATEVALUE(MID(B4, FIND(" ", B4) + 1, LEN(B4) - FIND(" ", B4) - LEN(", ") - 4) &amp; " " &amp; LEFT(B4, FIND(" ", B4) - 1) &amp; ", " &amp; RIGHT(B4, 4))</f>
        <v>44927</v>
      </c>
    </row>
    <row r="5" spans="1:4">
      <c r="A5" s="9" t="s">
        <v>16</v>
      </c>
      <c r="B5" s="9" t="s">
        <v>17</v>
      </c>
      <c r="C5" s="9" t="s">
        <v>18</v>
      </c>
      <c r="D5" s="11">
        <f t="shared" ref="D5:D22" si="0">DATEVALUE(MID(B5, FIND(" ", B5) + 1, LEN(B5) - FIND(" ", B5) - LEN(", ") - 4) &amp; " " &amp; LEFT(B5, FIND(" ", B5) - 1) &amp; ", " &amp; RIGHT(B5, 4))</f>
        <v>44928</v>
      </c>
    </row>
    <row r="6" spans="1:4">
      <c r="A6" s="9" t="s">
        <v>19</v>
      </c>
      <c r="B6" s="9" t="s">
        <v>20</v>
      </c>
      <c r="C6" s="9" t="s">
        <v>15</v>
      </c>
      <c r="D6" s="11">
        <f t="shared" si="0"/>
        <v>45004</v>
      </c>
    </row>
    <row r="7" spans="1:4">
      <c r="A7" s="9" t="s">
        <v>21</v>
      </c>
      <c r="B7" s="9" t="s">
        <v>22</v>
      </c>
      <c r="C7" s="9" t="s">
        <v>23</v>
      </c>
      <c r="D7" s="11">
        <f t="shared" si="0"/>
        <v>45023</v>
      </c>
    </row>
    <row r="8" spans="1:4">
      <c r="A8" s="9" t="s">
        <v>24</v>
      </c>
      <c r="B8" s="9" t="s">
        <v>25</v>
      </c>
      <c r="C8" s="9" t="s">
        <v>15</v>
      </c>
      <c r="D8" s="11">
        <f t="shared" si="0"/>
        <v>45025</v>
      </c>
    </row>
    <row r="9" spans="1:4">
      <c r="A9" s="9" t="s">
        <v>26</v>
      </c>
      <c r="B9" s="9" t="s">
        <v>27</v>
      </c>
      <c r="C9" s="9" t="s">
        <v>18</v>
      </c>
      <c r="D9" s="11">
        <f t="shared" si="0"/>
        <v>45026</v>
      </c>
    </row>
    <row r="10" spans="1:4">
      <c r="A10" s="9" t="s">
        <v>28</v>
      </c>
      <c r="B10" s="9" t="s">
        <v>29</v>
      </c>
      <c r="C10" s="9" t="s">
        <v>18</v>
      </c>
      <c r="D10" s="11">
        <f t="shared" si="0"/>
        <v>45047</v>
      </c>
    </row>
    <row r="11" spans="1:4">
      <c r="A11" s="9" t="s">
        <v>30</v>
      </c>
      <c r="B11" s="9" t="s">
        <v>31</v>
      </c>
      <c r="C11" s="9" t="s">
        <v>18</v>
      </c>
      <c r="D11" s="11">
        <f t="shared" si="0"/>
        <v>45075</v>
      </c>
    </row>
    <row r="12" spans="1:4">
      <c r="A12" s="9" t="s">
        <v>32</v>
      </c>
      <c r="B12" s="9" t="s">
        <v>33</v>
      </c>
      <c r="C12" s="9" t="s">
        <v>18</v>
      </c>
      <c r="D12" s="11">
        <f t="shared" si="0"/>
        <v>45285</v>
      </c>
    </row>
    <row r="13" spans="1:4">
      <c r="A13" s="9" t="s">
        <v>34</v>
      </c>
      <c r="B13" s="9" t="s">
        <v>35</v>
      </c>
      <c r="C13" s="9" t="s">
        <v>36</v>
      </c>
      <c r="D13" s="11">
        <f t="shared" si="0"/>
        <v>45286</v>
      </c>
    </row>
    <row r="14" spans="1:4">
      <c r="A14" s="9" t="s">
        <v>13</v>
      </c>
      <c r="B14" s="9" t="s">
        <v>37</v>
      </c>
      <c r="C14" s="9" t="s">
        <v>18</v>
      </c>
      <c r="D14" s="11">
        <f t="shared" si="0"/>
        <v>45292</v>
      </c>
    </row>
    <row r="15" spans="1:4">
      <c r="A15" s="9" t="s">
        <v>19</v>
      </c>
      <c r="B15" s="10" t="s">
        <v>38</v>
      </c>
      <c r="C15" s="9" t="s">
        <v>15</v>
      </c>
      <c r="D15" s="11">
        <f t="shared" si="0"/>
        <v>45361</v>
      </c>
    </row>
    <row r="16" spans="1:4">
      <c r="A16" s="9" t="s">
        <v>21</v>
      </c>
      <c r="B16" s="10" t="s">
        <v>39</v>
      </c>
      <c r="C16" s="9" t="s">
        <v>23</v>
      </c>
      <c r="D16" s="11">
        <f t="shared" si="0"/>
        <v>45380</v>
      </c>
    </row>
    <row r="17" spans="1:4">
      <c r="A17" s="9" t="s">
        <v>24</v>
      </c>
      <c r="B17" s="10" t="s">
        <v>40</v>
      </c>
      <c r="C17" s="9" t="s">
        <v>15</v>
      </c>
      <c r="D17" s="11">
        <f t="shared" si="0"/>
        <v>45382</v>
      </c>
    </row>
    <row r="18" spans="1:4">
      <c r="A18" s="9" t="s">
        <v>26</v>
      </c>
      <c r="B18" s="10" t="s">
        <v>41</v>
      </c>
      <c r="C18" s="9" t="s">
        <v>18</v>
      </c>
      <c r="D18" s="11">
        <f t="shared" si="0"/>
        <v>45383</v>
      </c>
    </row>
    <row r="19" spans="1:4">
      <c r="A19" s="9" t="s">
        <v>28</v>
      </c>
      <c r="B19" s="10" t="s">
        <v>42</v>
      </c>
      <c r="C19" s="9" t="s">
        <v>18</v>
      </c>
      <c r="D19" s="11">
        <f t="shared" si="0"/>
        <v>45418</v>
      </c>
    </row>
    <row r="20" spans="1:4">
      <c r="A20" s="9" t="s">
        <v>30</v>
      </c>
      <c r="B20" s="10" t="s">
        <v>43</v>
      </c>
      <c r="C20" s="9" t="s">
        <v>18</v>
      </c>
      <c r="D20" s="11">
        <f t="shared" si="0"/>
        <v>45439</v>
      </c>
    </row>
    <row r="21" spans="1:4">
      <c r="A21" s="9" t="s">
        <v>32</v>
      </c>
      <c r="B21" s="10" t="s">
        <v>44</v>
      </c>
      <c r="C21" s="9" t="s">
        <v>45</v>
      </c>
      <c r="D21" s="11">
        <f t="shared" si="0"/>
        <v>45651</v>
      </c>
    </row>
    <row r="22" spans="1:4">
      <c r="A22" s="9" t="s">
        <v>34</v>
      </c>
      <c r="B22" s="10" t="s">
        <v>46</v>
      </c>
      <c r="C22" s="9" t="s">
        <v>47</v>
      </c>
      <c r="D22" s="11">
        <f t="shared" si="0"/>
        <v>45652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E8"/>
  <sheetViews>
    <sheetView workbookViewId="0">
      <selection activeCell="G16" sqref="G16"/>
    </sheetView>
  </sheetViews>
  <sheetFormatPr defaultRowHeight="14.5"/>
  <cols>
    <col min="1" max="2" width="14.7265625" bestFit="1" customWidth="1"/>
    <col min="5" max="5" width="14.26953125" bestFit="1" customWidth="1"/>
    <col min="6" max="6" width="11.90625" bestFit="1" customWidth="1"/>
    <col min="7" max="7" width="18.81640625" bestFit="1" customWidth="1"/>
  </cols>
  <sheetData>
    <row r="2" spans="2:5">
      <c r="B2" s="12" t="s">
        <v>4</v>
      </c>
      <c r="E2" s="12" t="s">
        <v>53</v>
      </c>
    </row>
    <row r="3" spans="2:5">
      <c r="B3" s="9" t="s">
        <v>5</v>
      </c>
      <c r="E3" s="9" t="s">
        <v>51</v>
      </c>
    </row>
    <row r="4" spans="2:5">
      <c r="B4" s="9" t="s">
        <v>6</v>
      </c>
      <c r="E4" s="9" t="s">
        <v>50</v>
      </c>
    </row>
    <row r="5" spans="2:5">
      <c r="B5" s="9" t="s">
        <v>7</v>
      </c>
      <c r="E5" s="9" t="s">
        <v>52</v>
      </c>
    </row>
    <row r="6" spans="2:5">
      <c r="B6" s="9" t="s">
        <v>8</v>
      </c>
      <c r="E6" s="9" t="s">
        <v>54</v>
      </c>
    </row>
    <row r="7" spans="2:5">
      <c r="B7" s="9"/>
      <c r="E7" s="9" t="s">
        <v>55</v>
      </c>
    </row>
    <row r="8" spans="2:5">
      <c r="E8" s="9" t="s">
        <v>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Schedule</vt:lpstr>
      <vt:lpstr>Holidays</vt:lpstr>
      <vt:lpstr>Key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melli</dc:creator>
  <cp:lastModifiedBy>Mellisha Mallikage</cp:lastModifiedBy>
  <dcterms:created xsi:type="dcterms:W3CDTF">2023-08-29T14:13:02Z</dcterms:created>
  <dcterms:modified xsi:type="dcterms:W3CDTF">2023-08-29T17:52:32Z</dcterms:modified>
</cp:coreProperties>
</file>